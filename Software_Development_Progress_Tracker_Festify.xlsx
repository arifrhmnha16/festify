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rogress Festify" sheetId="1" r:id="rId1"/>
  </sheets>
  <calcPr calcId="191029" calcMode="auto" fullCalcOnLoad="1" forceFullCalc="1"/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2"/>
      <color rgb="FF1F293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>
      <alignment horizontal="center" vertical="center"/>
    </xf>
    <xf numFmtId="0" fontId="2" fillId="0" borderId="0" xfId="0" applyFont="1">
      <alignment vertical="center"/>
    </xf>
    <xf numFmtId="0" fontId="3" fillId="3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  <xf numFmtId="0" fontId="0" fillId="0" borderId="1" xfId="0" applyBorder="1">
      <alignment vertical="top" wrapText="1"/>
    </xf>
    <xf numFmtId="0" fontId="0" fillId="0" borderId="1" xfId="0" applyBorder="1">
      <alignment horizontal="center" vertical="center"/>
    </xf>
    <xf numFmtId="10" fontId="0" fillId="0" borderId="1" xfId="0" applyNumberFormat="1" applyBorder="1">
      <alignment horizontal="center" vertical="center"/>
    </xf>
    <xf numFmtId="0" fontId="4" fillId="5" borderId="1" xfId="0" applyFont="1" applyFill="1" applyBorder="1">
      <alignment vertical="center" wrapText="1"/>
    </xf>
    <xf numFmtId="0" fontId="4" fillId="5" borderId="1" xfId="0" applyFont="1" applyFill="1" applyBorder="1">
      <alignment horizontal="center" vertical="center"/>
    </xf>
    <xf numFmtId="10" fontId="4" fillId="6" borderId="1" xfId="0" applyNumberFormat="1" applyFont="1" applyFill="1" applyBorder="1">
      <alignment horizontal="center" vertical="center"/>
    </xf>
    <xf numFmtId="0" fontId="4" fillId="4" borderId="1" xfId="0" applyFont="1" applyFill="1" applyBorder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I5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7" customWidth="1"/>
    <col min="2" max="2" width="25" customWidth="1"/>
    <col min="3" max="3" width="34" customWidth="1"/>
    <col min="4" max="4" width="62" customWidth="1"/>
    <col min="5" max="7" width="12" customWidth="1"/>
    <col min="8" max="8" width="14" customWidth="1"/>
    <col min="9" max="9" width="55" customWidth="1"/>
  </cols>
  <sheetData>
    <row r="1" ht="28" customHeight="1">
      <c r="A1" s="1" t="inlineStr">
        <is>
          <t>SOFTWARE DEVELOPMENT PROGRESS TRACKER - FESTIFY</t>
        </is>
      </c>
    </row>
    <row r="2" ht="22" customHeight="1">
      <c r="A2" s="2" t="inlineStr">
        <is>
          <t>Diperbarui: 21 Juni 2026 | Sumber: analisis source code project Laravel Festify</t>
        </is>
      </c>
    </row>
    <row r="4" ht="24" customHeight="1">
      <c r="A4" s="3" t="inlineStr">
        <is>
          <t>No</t>
        </is>
      </c>
      <c r="B4" s="3" t="inlineStr">
        <is>
          <t>Modul</t>
        </is>
      </c>
      <c r="C4" s="3" t="inlineStr">
        <is>
          <t>Fitur</t>
        </is>
      </c>
      <c r="D4" s="3" t="inlineStr">
        <is>
          <t>Keterangan</t>
        </is>
      </c>
      <c r="E4" s="3" t="inlineStr">
        <is>
          <t>Poin</t>
        </is>
      </c>
      <c r="F4" s="3" t="inlineStr">
        <is>
          <t>Realisasi</t>
        </is>
      </c>
      <c r="G4" s="3" t="inlineStr">
        <is>
          <t>Persentase</t>
        </is>
      </c>
      <c r="H4" s="3" t="inlineStr">
        <is>
          <t>PIC</t>
        </is>
      </c>
      <c r="I4" s="3" t="inlineStr">
        <is>
          <t>Kendala</t>
        </is>
      </c>
    </row>
    <row r="5" ht="36" customHeight="1">
      <c r="A5" s="4">
        <v>1</v>
      </c>
      <c r="B5" s="4" t="inlineStr">
        <is>
          <t>Autentikasi &amp; Otorisasi</t>
        </is>
      </c>
      <c r="C5" s="4" t="inlineStr">
        <is>
          <t>Login multi-role (User/Admin/Petugas)</t>
        </is>
      </c>
      <c r="D5" s="5" t="inlineStr">
        <is>
          <t>Portal login user, admin, loket, dan gate memakai guard masing-masing.</t>
        </is>
      </c>
      <c r="E5" s="6">
        <v>3</v>
      </c>
      <c r="F5" s="6">
        <v>3</v>
      </c>
      <c r="G5" s="7">
        <f>IFERROR(F5/E5,0)</f>
      </c>
      <c r="H5" s="4" t="inlineStr">
        <is>
          <t>-</t>
        </is>
      </c>
      <c r="I5" s="5" t="inlineStr">
        <is>
          <t>-</t>
        </is>
      </c>
    </row>
    <row r="6" ht="36" customHeight="1">
      <c r="A6" s="4">
        <v>2</v>
      </c>
      <c r="B6" s="4" t="inlineStr">
        <is>
          <t/>
        </is>
      </c>
      <c r="C6" s="4" t="inlineStr">
        <is>
          <t>Registrasi akun user baru</t>
        </is>
      </c>
      <c r="D6" s="5" t="inlineStr">
        <is>
          <t>Form daftar calon pembeli tiket, validasi data, lalu auto-login sebagai user.</t>
        </is>
      </c>
      <c r="E6" s="6">
        <v>2</v>
      </c>
      <c r="F6" s="6">
        <v>2</v>
      </c>
      <c r="G6" s="7">
        <f>IFERROR(F6/E6,0)</f>
      </c>
      <c r="H6" s="4" t="inlineStr">
        <is>
          <t>-</t>
        </is>
      </c>
      <c r="I6" s="5" t="inlineStr">
        <is>
          <t>-</t>
        </is>
      </c>
    </row>
    <row r="7" ht="36" customHeight="1">
      <c r="A7" s="4">
        <v>3</v>
      </c>
      <c r="B7" s="4" t="inlineStr">
        <is>
          <t/>
        </is>
      </c>
      <c r="C7" s="4" t="inlineStr">
        <is>
          <t>Logout</t>
        </is>
      </c>
      <c r="D7" s="5" t="inlineStr">
        <is>
          <t>Logout seluruh guard, invalidasi session, dan regenerate token.</t>
        </is>
      </c>
      <c r="E7" s="6">
        <v>1</v>
      </c>
      <c r="F7" s="6">
        <v>1</v>
      </c>
      <c r="G7" s="7">
        <f>IFERROR(F7/E7,0)</f>
      </c>
      <c r="H7" s="4" t="inlineStr">
        <is>
          <t>-</t>
        </is>
      </c>
      <c r="I7" s="5" t="inlineStr">
        <is>
          <t>-</t>
        </is>
      </c>
    </row>
    <row r="8" ht="36" customHeight="1">
      <c r="A8" s="4">
        <v>4</v>
      </c>
      <c r="B8" s="4" t="inlineStr">
        <is>
          <t/>
        </is>
      </c>
      <c r="C8" s="4" t="inlineStr">
        <is>
          <t>Middleware proteksi akses per role</t>
        </is>
      </c>
      <c r="D8" s="5" t="inlineStr">
        <is>
          <t>EnsureRole membatasi route user, admin, loket, dan gate sesuai guard/role.</t>
        </is>
      </c>
      <c r="E8" s="6">
        <v>3</v>
      </c>
      <c r="F8" s="6">
        <v>3</v>
      </c>
      <c r="G8" s="7">
        <f>IFERROR(F8/E8,0)</f>
      </c>
      <c r="H8" s="4" t="inlineStr">
        <is>
          <t>-</t>
        </is>
      </c>
      <c r="I8" s="5" t="inlineStr">
        <is>
          <t>-</t>
        </is>
      </c>
    </row>
    <row r="9" ht="36" customHeight="1">
      <c r="A9" s="4">
        <v>5</v>
      </c>
      <c r="B9" s="4" t="inlineStr">
        <is>
          <t/>
        </is>
      </c>
      <c r="C9" s="4" t="inlineStr">
        <is>
          <t>Verifikasi email akun</t>
        </is>
      </c>
      <c r="D9" s="5" t="inlineStr">
        <is>
          <t>Verifikasi email aktif memakai MustVerifyEmail, route verifikasi, template email custom Festify, dan SMTP SumoPod.</t>
        </is>
      </c>
      <c r="E9" s="6">
        <v>2</v>
      </c>
      <c r="F9" s="6">
        <v>2</v>
      </c>
      <c r="G9" s="7">
        <f>IFERROR(F9/E9,0)</f>
      </c>
      <c r="H9" s="4" t="inlineStr">
        <is>
          <t>-</t>
        </is>
      </c>
      <c r="I9" s="5" t="inlineStr">
        <is>
          <t>-</t>
        </is>
      </c>
    </row>
    <row r="10" ht="36" customHeight="1">
      <c r="A10" s="4">
        <v>6</v>
      </c>
      <c r="B10" s="4" t="inlineStr">
        <is>
          <t/>
        </is>
      </c>
      <c r="C10" s="4" t="inlineStr">
        <is>
          <t>Lupa password / reset password</t>
        </is>
      </c>
      <c r="D10" s="5" t="inlineStr">
        <is>
          <t>Reset password user aktif memakai password_reset_tokens, notifikasi reset custom Festify, dan SMTP SumoPod.</t>
        </is>
      </c>
      <c r="E10" s="6">
        <v>1</v>
      </c>
      <c r="F10" s="6">
        <v>1</v>
      </c>
      <c r="G10" s="7">
        <f>IFERROR(F10/E10,0)</f>
      </c>
      <c r="H10" s="4" t="inlineStr">
        <is>
          <t>-</t>
        </is>
      </c>
      <c r="I10" s="5" t="inlineStr">
        <is>
          <t>-</t>
        </is>
      </c>
    </row>
    <row r="11" ht="36" customHeight="1">
      <c r="A11" s="4">
        <v>7</v>
      </c>
      <c r="B11" s="4" t="inlineStr">
        <is>
          <t>Halaman Publik</t>
        </is>
      </c>
      <c r="C11" s="4" t="inlineStr">
        <is>
          <t>Landing page</t>
        </is>
      </c>
      <c r="D11" s="5" t="inlineStr">
        <is>
          <t>Homepage menampilkan hero konser unggulan dan list konser aktif.</t>
        </is>
      </c>
      <c r="E11" s="6">
        <v>2</v>
      </c>
      <c r="F11" s="6">
        <v>2</v>
      </c>
      <c r="G11" s="7">
        <f>IFERROR(F11/E11,0)</f>
      </c>
      <c r="H11" s="4" t="inlineStr">
        <is>
          <t>-</t>
        </is>
      </c>
      <c r="I11" s="5" t="inlineStr">
        <is>
          <t>-</t>
        </is>
      </c>
    </row>
    <row r="12" ht="36" customHeight="1">
      <c r="A12" s="4">
        <v>8</v>
      </c>
      <c r="B12" s="4" t="inlineStr">
        <is>
          <t/>
        </is>
      </c>
      <c r="C12" s="4" t="inlineStr">
        <is>
          <t>Katalog/daftar konser</t>
        </is>
      </c>
      <c r="D12" s="5" t="inlineStr">
        <is>
          <t>List konser aktif dengan pagination 9 per halaman.</t>
        </is>
      </c>
      <c r="E12" s="6">
        <v>2</v>
      </c>
      <c r="F12" s="6">
        <v>2</v>
      </c>
      <c r="G12" s="7">
        <f>IFERROR(F12/E12,0)</f>
      </c>
      <c r="H12" s="4" t="inlineStr">
        <is>
          <t>-</t>
        </is>
      </c>
      <c r="I12" s="5" t="inlineStr">
        <is>
          <t>-</t>
        </is>
      </c>
    </row>
    <row r="13" ht="36" customHeight="1">
      <c r="A13" s="4">
        <v>9</v>
      </c>
      <c r="B13" s="4" t="inlineStr">
        <is>
          <t/>
        </is>
      </c>
      <c r="C13" s="4" t="inlineStr">
        <is>
          <t>Detail konser</t>
        </is>
      </c>
      <c r="D13" s="5" t="inlineStr">
        <is>
          <t>Halaman detail konser memuat info konser dan zona venue.</t>
        </is>
      </c>
      <c r="E13" s="6">
        <v>2</v>
      </c>
      <c r="F13" s="6">
        <v>2</v>
      </c>
      <c r="G13" s="7">
        <f>IFERROR(F13/E13,0)</f>
      </c>
      <c r="H13" s="4" t="inlineStr">
        <is>
          <t>-</t>
        </is>
      </c>
      <c r="I13" s="5" t="inlineStr">
        <is>
          <t>-</t>
        </is>
      </c>
    </row>
    <row r="14" ht="36" customHeight="1">
      <c r="A14" s="4">
        <v>10</v>
      </c>
      <c r="B14" s="4" t="inlineStr">
        <is>
          <t/>
        </is>
      </c>
      <c r="C14" s="4" t="inlineStr">
        <is>
          <t>Pencarian &amp; filter konser</t>
        </is>
      </c>
      <c r="D14" s="5" t="inlineStr">
        <is>
          <t>Filter berdasarkan nama/artis, venue, dan tanggal pada halaman publik/user.</t>
        </is>
      </c>
      <c r="E14" s="6">
        <v>2</v>
      </c>
      <c r="F14" s="6">
        <v>2</v>
      </c>
      <c r="G14" s="7">
        <f>IFERROR(F14/E14,0)</f>
      </c>
      <c r="H14" s="4" t="inlineStr">
        <is>
          <t>-</t>
        </is>
      </c>
      <c r="I14" s="5" t="inlineStr">
        <is>
          <t>-</t>
        </is>
      </c>
    </row>
    <row r="15" ht="36" customHeight="1">
      <c r="A15" s="4">
        <v>11</v>
      </c>
      <c r="B15" s="4" t="inlineStr">
        <is>
          <t/>
        </is>
      </c>
      <c r="C15" s="4" t="inlineStr">
        <is>
          <t>Konser unggulan</t>
        </is>
      </c>
      <c r="D15" s="5" t="inlineStr">
        <is>
          <t>Admin dapat menandai satu konser featured untuk prioritas tampilan publik.</t>
        </is>
      </c>
      <c r="E15" s="6">
        <v>1</v>
      </c>
      <c r="F15" s="6">
        <v>1</v>
      </c>
      <c r="G15" s="7">
        <f>IFERROR(F15/E15,0)</f>
      </c>
      <c r="H15" s="4" t="inlineStr">
        <is>
          <t>-</t>
        </is>
      </c>
      <c r="I15" s="5" t="inlineStr">
        <is>
          <t>-</t>
        </is>
      </c>
    </row>
    <row r="16" ht="36" customHeight="1">
      <c r="A16" s="4">
        <v>12</v>
      </c>
      <c r="B16" s="4" t="inlineStr">
        <is>
          <t/>
        </is>
      </c>
      <c r="C16" s="4" t="inlineStr">
        <is>
          <t>Visual zona venue</t>
        </is>
      </c>
      <c r="D16" s="5" t="inlineStr">
        <is>
          <t>Komponen venue-map menampilkan area tiket/zona konser.</t>
        </is>
      </c>
      <c r="E16" s="6">
        <v>1</v>
      </c>
      <c r="F16" s="6">
        <v>1</v>
      </c>
      <c r="G16" s="7">
        <f>IFERROR(F16/E16,0)</f>
      </c>
      <c r="H16" s="4" t="inlineStr">
        <is>
          <t>-</t>
        </is>
      </c>
      <c r="I16" s="5" t="inlineStr">
        <is>
          <t>-</t>
        </is>
      </c>
    </row>
    <row r="17" ht="36" customHeight="1">
      <c r="A17" s="4">
        <v>13</v>
      </c>
      <c r="B17" s="4" t="inlineStr">
        <is>
          <t>Modul User/Pelanggan</t>
        </is>
      </c>
      <c r="C17" s="4" t="inlineStr">
        <is>
          <t>Dashboard user</t>
        </is>
      </c>
      <c r="D17" s="5" t="inlineStr">
        <is>
          <t>Dashboard user menampilkan sapaan, ringkasan pesanan, e-ticket aktif, gelang aktif, rekomendasi konser, dan tombol alur utama.</t>
        </is>
      </c>
      <c r="E17" s="6">
        <v>3</v>
      </c>
      <c r="F17" s="6">
        <v>3</v>
      </c>
      <c r="G17" s="7">
        <f>IFERROR(F17/E17,0)</f>
      </c>
      <c r="H17" s="4" t="inlineStr">
        <is>
          <t>-</t>
        </is>
      </c>
      <c r="I17" s="5" t="inlineStr">
        <is>
          <t>-</t>
        </is>
      </c>
    </row>
    <row r="18" ht="36" customHeight="1">
      <c r="A18" s="4">
        <v>14</v>
      </c>
      <c r="B18" s="4" t="inlineStr">
        <is>
          <t/>
        </is>
      </c>
      <c r="C18" s="4" t="inlineStr">
        <is>
          <t>Pemesanan tiket per zona</t>
        </is>
      </c>
      <c r="D18" s="5" t="inlineStr">
        <is>
          <t>User memilih zona dan jumlah tiket; stok konser dan zona dikurangi dalam DB transaction dengan lockForUpdate.</t>
        </is>
      </c>
      <c r="E18" s="6">
        <v>5</v>
      </c>
      <c r="F18" s="6">
        <v>5</v>
      </c>
      <c r="G18" s="7">
        <f>IFERROR(F18/E18,0)</f>
      </c>
      <c r="H18" s="4" t="inlineStr">
        <is>
          <t>-</t>
        </is>
      </c>
      <c r="I18" s="5" t="inlineStr">
        <is>
          <t>-</t>
        </is>
      </c>
    </row>
    <row r="19" ht="36" customHeight="1">
      <c r="A19" s="4">
        <v>15</v>
      </c>
      <c r="B19" s="4" t="inlineStr">
        <is>
          <t/>
        </is>
      </c>
      <c r="C19" s="4" t="inlineStr">
        <is>
          <t>Pembayaran tiket</t>
        </is>
      </c>
      <c r="D19" s="5" t="inlineStr">
        <is>
          <t>User memilih metode dan upload bukti pembayaran; status menunggu verifikasi admin.</t>
        </is>
      </c>
      <c r="E19" s="6">
        <v>5</v>
      </c>
      <c r="F19" s="6">
        <v>5</v>
      </c>
      <c r="G19" s="7">
        <f>IFERROR(F19/E19,0)</f>
      </c>
      <c r="H19" s="4" t="inlineStr">
        <is>
          <t>-</t>
        </is>
      </c>
      <c r="I19" s="5" t="inlineStr">
        <is>
          <t>-</t>
        </is>
      </c>
    </row>
    <row r="20" ht="36" customHeight="1">
      <c r="A20" s="4">
        <v>16</v>
      </c>
      <c r="B20" s="4" t="inlineStr">
        <is>
          <t/>
        </is>
      </c>
      <c r="C20" s="4" t="inlineStr">
        <is>
          <t>Generate e-ticket otomatis</t>
        </is>
      </c>
      <c r="D20" s="5" t="inlineStr">
        <is>
          <t>E-ticket terbit otomatis setelah admin mengubah pembayaran menjadi success.</t>
        </is>
      </c>
      <c r="E20" s="6">
        <v>4</v>
      </c>
      <c r="F20" s="6">
        <v>4</v>
      </c>
      <c r="G20" s="7">
        <f>IFERROR(F20/E20,0)</f>
      </c>
      <c r="H20" s="4" t="inlineStr">
        <is>
          <t>-</t>
        </is>
      </c>
      <c r="I20" s="5" t="inlineStr">
        <is>
          <t>-</t>
        </is>
      </c>
    </row>
    <row r="21" ht="36" customHeight="1">
      <c r="A21" s="4">
        <v>17</v>
      </c>
      <c r="B21" s="4" t="inlineStr">
        <is>
          <t/>
        </is>
      </c>
      <c r="C21" s="4" t="inlineStr">
        <is>
          <t>Tampilan QR e-ticket</t>
        </is>
      </c>
      <c r="D21" s="5" t="inlineStr">
        <is>
          <t>E-ticket menampilkan QR Code asli, status e-ticket, status gelang, dan pesan tukar tiket di loket jika belum memiliki gelang.</t>
        </is>
      </c>
      <c r="E21" s="6">
        <v>4</v>
      </c>
      <c r="F21" s="6">
        <v>4</v>
      </c>
      <c r="G21" s="7">
        <f>IFERROR(F21/E21,0)</f>
      </c>
      <c r="H21" s="4" t="inlineStr">
        <is>
          <t>-</t>
        </is>
      </c>
      <c r="I21" s="5" t="inlineStr">
        <is>
          <t>-</t>
        </is>
      </c>
    </row>
    <row r="22" ht="36" customHeight="1">
      <c r="A22" s="4">
        <v>18</v>
      </c>
      <c r="B22" s="4" t="inlineStr">
        <is>
          <t/>
        </is>
      </c>
      <c r="C22" s="4" t="inlineStr">
        <is>
          <t>Cetak/download e-ticket</t>
        </is>
      </c>
      <c r="D22" s="5" t="inlineStr">
        <is>
          <t>Halaman e-ticket punya mode print melalui window.print().</t>
        </is>
      </c>
      <c r="E22" s="6">
        <v>1</v>
      </c>
      <c r="F22" s="6">
        <v>1</v>
      </c>
      <c r="G22" s="7">
        <f>IFERROR(F22/E22,0)</f>
      </c>
      <c r="H22" s="4" t="inlineStr">
        <is>
          <t>-</t>
        </is>
      </c>
      <c r="I22" s="5" t="inlineStr">
        <is>
          <t>-</t>
        </is>
      </c>
    </row>
    <row r="23" ht="36" customHeight="1">
      <c r="A23" s="4">
        <v>19</v>
      </c>
      <c r="B23" s="4" t="inlineStr">
        <is>
          <t>Modul Admin</t>
        </is>
      </c>
      <c r="C23" s="4" t="inlineStr">
        <is>
          <t>Dashboard admin</t>
        </is>
      </c>
      <c r="D23" s="5" t="inlineStr">
        <is>
          <t>Statistik ringkas konser, user, pemesanan, pembayaran, e-ticket, gelang, dan gate.</t>
        </is>
      </c>
      <c r="E23" s="6">
        <v>3</v>
      </c>
      <c r="F23" s="6">
        <v>3</v>
      </c>
      <c r="G23" s="7">
        <f>IFERROR(F23/E23,0)</f>
      </c>
      <c r="H23" s="4" t="inlineStr">
        <is>
          <t>-</t>
        </is>
      </c>
      <c r="I23" s="5" t="inlineStr">
        <is>
          <t>-</t>
        </is>
      </c>
    </row>
    <row r="24" ht="36" customHeight="1">
      <c r="A24" s="4">
        <v>20</v>
      </c>
      <c r="B24" s="4" t="inlineStr">
        <is>
          <t/>
        </is>
      </c>
      <c r="C24" s="4" t="inlineStr">
        <is>
          <t>CRUD data konser</t>
        </is>
      </c>
      <c r="D24" s="5" t="inlineStr">
        <is>
          <t>Tambah, ubah, hapus, list konser, validasi input, pagination, dan set featured.</t>
        </is>
      </c>
      <c r="E24" s="6">
        <v>5</v>
      </c>
      <c r="F24" s="6">
        <v>5</v>
      </c>
      <c r="G24" s="7">
        <f>IFERROR(F24/E24,0)</f>
      </c>
      <c r="H24" s="4" t="inlineStr">
        <is>
          <t>-</t>
        </is>
      </c>
      <c r="I24" s="5" t="inlineStr">
        <is>
          <t>-</t>
        </is>
      </c>
    </row>
    <row r="25" ht="36" customHeight="1">
      <c r="A25" s="4">
        <v>21</v>
      </c>
      <c r="B25" s="4" t="inlineStr">
        <is>
          <t/>
        </is>
      </c>
      <c r="C25" s="4" t="inlineStr">
        <is>
          <t>Upload poster/gambar konser</t>
        </is>
      </c>
      <c r="D25" s="5" t="inlineStr">
        <is>
          <t>Form admin mendukung upload poster ke storage public.</t>
        </is>
      </c>
      <c r="E25" s="6">
        <v>2</v>
      </c>
      <c r="F25" s="6">
        <v>2</v>
      </c>
      <c r="G25" s="7">
        <f>IFERROR(F25/E25,0)</f>
      </c>
      <c r="H25" s="4" t="inlineStr">
        <is>
          <t>-</t>
        </is>
      </c>
      <c r="I25" s="5" t="inlineStr">
        <is>
          <t>-</t>
        </is>
      </c>
    </row>
    <row r="26" ht="36" customHeight="1">
      <c r="A26" s="4">
        <v>22</v>
      </c>
      <c r="B26" s="4" t="inlineStr">
        <is>
          <t/>
        </is>
      </c>
      <c r="C26" s="4" t="inlineStr">
        <is>
          <t>Manajemen user/pelanggan</t>
        </is>
      </c>
      <c r="D26" s="5" t="inlineStr">
        <is>
          <t>Admin dapat tambah, ubah, hapus, dan pagination data user.</t>
        </is>
      </c>
      <c r="E26" s="6">
        <v>4</v>
      </c>
      <c r="F26" s="6">
        <v>4</v>
      </c>
      <c r="G26" s="7">
        <f>IFERROR(F26/E26,0)</f>
      </c>
      <c r="H26" s="4" t="inlineStr">
        <is>
          <t>-</t>
        </is>
      </c>
      <c r="I26" s="5" t="inlineStr">
        <is>
          <t>-</t>
        </is>
      </c>
    </row>
    <row r="27" ht="36" customHeight="1">
      <c r="A27" s="4">
        <v>23</v>
      </c>
      <c r="B27" s="4" t="inlineStr">
        <is>
          <t/>
        </is>
      </c>
      <c r="C27" s="4" t="inlineStr">
        <is>
          <t>Manajemen petugas loket/gate</t>
        </is>
      </c>
      <c r="D27" s="5" t="inlineStr">
        <is>
          <t>Admin dapat tambah, ubah, hapus petugas dan memilih role loket/gate.</t>
        </is>
      </c>
      <c r="E27" s="6">
        <v>3</v>
      </c>
      <c r="F27" s="6">
        <v>3</v>
      </c>
      <c r="G27" s="7">
        <f>IFERROR(F27/E27,0)</f>
      </c>
      <c r="H27" s="4" t="inlineStr">
        <is>
          <t>-</t>
        </is>
      </c>
      <c r="I27" s="5" t="inlineStr">
        <is>
          <t>-</t>
        </is>
      </c>
    </row>
    <row r="28" ht="36" customHeight="1">
      <c r="A28" s="4">
        <v>24</v>
      </c>
      <c r="B28" s="4" t="inlineStr">
        <is>
          <t/>
        </is>
      </c>
      <c r="C28" s="4" t="inlineStr">
        <is>
          <t>Manajemen pesanan</t>
        </is>
      </c>
      <c r="D28" s="5" t="inlineStr">
        <is>
          <t>Admin dapat tambah, ubah status, hapus, dan melihat pesanan beserta user/konser/zona.</t>
        </is>
      </c>
      <c r="E28" s="6">
        <v>3</v>
      </c>
      <c r="F28" s="6">
        <v>3</v>
      </c>
      <c r="G28" s="7">
        <f>IFERROR(F28/E28,0)</f>
      </c>
      <c r="H28" s="4" t="inlineStr">
        <is>
          <t>-</t>
        </is>
      </c>
      <c r="I28" s="5" t="inlineStr">
        <is>
          <t>-</t>
        </is>
      </c>
    </row>
    <row r="29" ht="36" customHeight="1">
      <c r="A29" s="4">
        <v>25</v>
      </c>
      <c r="B29" s="4" t="inlineStr">
        <is>
          <t/>
        </is>
      </c>
      <c r="C29" s="4" t="inlineStr">
        <is>
          <t>Verifikasi &amp; manajemen pembayaran</t>
        </is>
      </c>
      <c r="D29" s="5" t="inlineStr">
        <is>
          <t>Admin melihat bukti pembayaran dan mengubah status pending/success/failed.</t>
        </is>
      </c>
      <c r="E29" s="6">
        <v>4</v>
      </c>
      <c r="F29" s="6">
        <v>4</v>
      </c>
      <c r="G29" s="7">
        <f>IFERROR(F29/E29,0)</f>
      </c>
      <c r="H29" s="4" t="inlineStr">
        <is>
          <t>-</t>
        </is>
      </c>
      <c r="I29" s="5" t="inlineStr">
        <is>
          <t>-</t>
        </is>
      </c>
    </row>
    <row r="30" ht="36" customHeight="1">
      <c r="A30" s="4">
        <v>26</v>
      </c>
      <c r="B30" s="4" t="inlineStr">
        <is>
          <t/>
        </is>
      </c>
      <c r="C30" s="4" t="inlineStr">
        <is>
          <t>Manajemen e-ticket &amp; gelang</t>
        </is>
      </c>
      <c r="D30" s="5" t="inlineStr">
        <is>
          <t>Admin dapat tambah/update/hapus e-ticket dan wristband secara manual.</t>
        </is>
      </c>
      <c r="E30" s="6">
        <v>2</v>
      </c>
      <c r="F30" s="6">
        <v>2</v>
      </c>
      <c r="G30" s="7">
        <f>IFERROR(F30/E30,0)</f>
      </c>
      <c r="H30" s="4" t="inlineStr">
        <is>
          <t>-</t>
        </is>
      </c>
      <c r="I30" s="5" t="inlineStr">
        <is>
          <t>-</t>
        </is>
      </c>
    </row>
    <row r="31" ht="36" customHeight="1">
      <c r="A31" s="4">
        <v>27</v>
      </c>
      <c r="B31" s="4" t="inlineStr">
        <is>
          <t/>
        </is>
      </c>
      <c r="C31" s="4" t="inlineStr">
        <is>
          <t>Laporan riwayat scan</t>
        </is>
      </c>
      <c r="D31" s="5" t="inlineStr">
        <is>
          <t>Halaman laporan menampilkan log scan loket/gate dengan pagination.</t>
        </is>
      </c>
      <c r="E31" s="6">
        <v>1</v>
      </c>
      <c r="F31" s="6">
        <v>1</v>
      </c>
      <c r="G31" s="7">
        <f>IFERROR(F31/E31,0)</f>
      </c>
      <c r="H31" s="4" t="inlineStr">
        <is>
          <t>-</t>
        </is>
      </c>
      <c r="I31" s="5" t="inlineStr">
        <is>
          <t>-</t>
        </is>
      </c>
    </row>
    <row r="32" ht="36" customHeight="1">
      <c r="A32" s="4">
        <v>28</v>
      </c>
      <c r="B32" s="4" t="inlineStr">
        <is>
          <t/>
        </is>
      </c>
      <c r="C32" s="4" t="inlineStr">
        <is>
          <t>Export laporan (Excel/PDF)</t>
        </is>
      </c>
      <c r="D32" s="5" t="inlineStr">
        <is>
          <t>Admin dapat mengunduh laporan riwayat scan dalam format CSV.</t>
        </is>
      </c>
      <c r="E32" s="6">
        <v>1</v>
      </c>
      <c r="F32" s="6">
        <v>1</v>
      </c>
      <c r="G32" s="7">
        <f>IFERROR(F32/E32,0)</f>
      </c>
      <c r="H32" s="4" t="inlineStr">
        <is>
          <t>-</t>
        </is>
      </c>
      <c r="I32" s="5" t="inlineStr">
        <is>
          <t>-</t>
        </is>
      </c>
    </row>
    <row r="33" ht="36" customHeight="1">
      <c r="A33" s="4">
        <v>29</v>
      </c>
      <c r="B33" s="4" t="inlineStr">
        <is>
          <t>Petugas Loket</t>
        </is>
      </c>
      <c r="C33" s="4" t="inlineStr">
        <is>
          <t>Dashboard loket</t>
        </is>
      </c>
      <c r="D33" s="5" t="inlineStr">
        <is>
          <t>Dashboard menampilkan jumlah e-ticket ditukar, gelang aktif, dan 8 riwayat scan terakhir.</t>
        </is>
      </c>
      <c r="E33" s="6">
        <v>3</v>
      </c>
      <c r="F33" s="6">
        <v>3</v>
      </c>
      <c r="G33" s="7">
        <f>IFERROR(F33/E33,0)</f>
      </c>
      <c r="H33" s="4" t="inlineStr">
        <is>
          <t>-</t>
        </is>
      </c>
      <c r="I33" s="5" t="inlineStr">
        <is>
          <t>-</t>
        </is>
      </c>
    </row>
    <row r="34" ht="36" customHeight="1">
      <c r="A34" s="4">
        <v>30</v>
      </c>
      <c r="B34" s="4" t="inlineStr">
        <is>
          <t/>
        </is>
      </c>
      <c r="C34" s="4" t="inlineStr">
        <is>
          <t>Scan/tukar e-ticket menjadi gelang</t>
        </is>
      </c>
      <c r="D34" s="5" t="inlineStr">
        <is>
          <t>Scanner QR kamera/manual memvalidasi e-ticket, status pembayaran, tanggal konser, lalu membuat wristband aktif.</t>
        </is>
      </c>
      <c r="E34" s="6">
        <v>5</v>
      </c>
      <c r="F34" s="6">
        <v>5</v>
      </c>
      <c r="G34" s="7">
        <f>IFERROR(F34/E34,0)</f>
      </c>
      <c r="H34" s="4" t="inlineStr">
        <is>
          <t>-</t>
        </is>
      </c>
      <c r="I34" s="5" t="inlineStr">
        <is>
          <t>-</t>
        </is>
      </c>
    </row>
    <row r="35" ht="36" customHeight="1">
      <c r="A35" s="4">
        <v>31</v>
      </c>
      <c r="B35" s="4" t="inlineStr">
        <is>
          <t>Petugas Gate</t>
        </is>
      </c>
      <c r="C35" s="4" t="inlineStr">
        <is>
          <t>Dashboard gate</t>
        </is>
      </c>
      <c r="D35" s="5" t="inlineStr">
        <is>
          <t>Dashboard menampilkan jumlah gelang masuk, gelang aktif, dan 8 riwayat scan terakhir.</t>
        </is>
      </c>
      <c r="E35" s="6">
        <v>3</v>
      </c>
      <c r="F35" s="6">
        <v>3</v>
      </c>
      <c r="G35" s="7">
        <f>IFERROR(F35/E35,0)</f>
      </c>
      <c r="H35" s="4" t="inlineStr">
        <is>
          <t>-</t>
        </is>
      </c>
      <c r="I35" s="5" t="inlineStr">
        <is>
          <t>-</t>
        </is>
      </c>
    </row>
    <row r="36" ht="36" customHeight="1">
      <c r="A36" s="4">
        <v>32</v>
      </c>
      <c r="B36" s="4" t="inlineStr">
        <is>
          <t/>
        </is>
      </c>
      <c r="C36" s="4" t="inlineStr">
        <is>
          <t>Scan gelang validasi akses masuk</t>
        </is>
      </c>
      <c r="D36" s="5" t="inlineStr">
        <is>
          <t>Scanner QR kamera/manual memvalidasi kode gelang, status aktif, tanggal konser, dan mengubah status menjadi sudah_masuk.</t>
        </is>
      </c>
      <c r="E36" s="6">
        <v>5</v>
      </c>
      <c r="F36" s="6">
        <v>5</v>
      </c>
      <c r="G36" s="7">
        <f>IFERROR(F36/E36,0)</f>
      </c>
      <c r="H36" s="4" t="inlineStr">
        <is>
          <t>-</t>
        </is>
      </c>
      <c r="I36" s="5" t="inlineStr">
        <is>
          <t>-</t>
        </is>
      </c>
    </row>
    <row r="37" ht="36" customHeight="1">
      <c r="A37" s="4">
        <v>33</v>
      </c>
      <c r="B37" s="4" t="inlineStr">
        <is>
          <t>Sistem Pendukung</t>
        </is>
      </c>
      <c r="C37" s="4" t="inlineStr">
        <is>
          <t>Role-based access control</t>
        </is>
      </c>
      <c r="D37" s="5" t="inlineStr">
        <is>
          <t>Middleware role memastikan setiap portal hanya bisa diakses role yang sesuai.</t>
        </is>
      </c>
      <c r="E37" s="6">
        <v>2</v>
      </c>
      <c r="F37" s="6">
        <v>2</v>
      </c>
      <c r="G37" s="7">
        <f>IFERROR(F37/E37,0)</f>
      </c>
      <c r="H37" s="4" t="inlineStr">
        <is>
          <t>-</t>
        </is>
      </c>
      <c r="I37" s="5" t="inlineStr">
        <is>
          <t>-</t>
        </is>
      </c>
    </row>
    <row r="38" ht="36" customHeight="1">
      <c r="A38" s="4">
        <v>34</v>
      </c>
      <c r="B38" s="4" t="inlineStr">
        <is>
          <t/>
        </is>
      </c>
      <c r="C38" s="4" t="inlineStr">
        <is>
          <t>Transaksi database</t>
        </is>
      </c>
      <c r="D38" s="5" t="inlineStr">
        <is>
          <t>Pembuatan order dan pengurangan stok memakai DB transaction serta lockForUpdate pada konser dan zona tiket.</t>
        </is>
      </c>
      <c r="E38" s="6">
        <v>3</v>
      </c>
      <c r="F38" s="6">
        <v>3</v>
      </c>
      <c r="G38" s="7">
        <f>IFERROR(F38/E38,0)</f>
      </c>
      <c r="H38" s="4" t="inlineStr">
        <is>
          <t>-</t>
        </is>
      </c>
      <c r="I38" s="5" t="inlineStr">
        <is>
          <t>-</t>
        </is>
      </c>
    </row>
    <row r="39" ht="36" customHeight="1">
      <c r="A39" s="4">
        <v>35</v>
      </c>
      <c r="B39" s="4" t="inlineStr">
        <is>
          <t/>
        </is>
      </c>
      <c r="C39" s="4" t="inlineStr">
        <is>
          <t>Generate kode unik otomatis</t>
        </is>
      </c>
      <c r="D39" s="5" t="inlineStr">
        <is>
          <t>Kode otomatis untuk order, e-ticket, dan gelang memakai prefix ORD/TIX/GLG.</t>
        </is>
      </c>
      <c r="E39" s="6">
        <v>2</v>
      </c>
      <c r="F39" s="6">
        <v>2</v>
      </c>
      <c r="G39" s="7">
        <f>IFERROR(F39/E39,0)</f>
      </c>
      <c r="H39" s="4" t="inlineStr">
        <is>
          <t>-</t>
        </is>
      </c>
      <c r="I39" s="5" t="inlineStr">
        <is>
          <t>-</t>
        </is>
      </c>
    </row>
    <row r="40" ht="36" customHeight="1">
      <c r="A40" s="4">
        <v>36</v>
      </c>
      <c r="B40" s="4" t="inlineStr">
        <is>
          <t/>
        </is>
      </c>
      <c r="C40" s="4" t="inlineStr">
        <is>
          <t>Seeder data demo</t>
        </is>
      </c>
      <c r="D40" s="5" t="inlineStr">
        <is>
          <t>Seeder membuat akun admin, user, loket/gate, konser, zona tiket, order, payment, e-ticket, dan wristband.</t>
        </is>
      </c>
      <c r="E40" s="6">
        <v>2</v>
      </c>
      <c r="F40" s="6">
        <v>2</v>
      </c>
      <c r="G40" s="7">
        <f>IFERROR(F40/E40,0)</f>
      </c>
      <c r="H40" s="4" t="inlineStr">
        <is>
          <t>-</t>
        </is>
      </c>
      <c r="I40" s="5" t="inlineStr">
        <is>
          <t>-</t>
        </is>
      </c>
    </row>
    <row r="41" ht="36" customHeight="1">
      <c r="A41" s="4">
        <v>37</v>
      </c>
      <c r="B41" s="4" t="inlineStr">
        <is>
          <t/>
        </is>
      </c>
      <c r="C41" s="4" t="inlineStr">
        <is>
          <t>Validasi form input</t>
        </is>
      </c>
      <c r="D41" s="5" t="inlineStr">
        <is>
          <t>Validasi request ada pada login, register, konser, order, payment, dan scan.</t>
        </is>
      </c>
      <c r="E41" s="6">
        <v>2</v>
      </c>
      <c r="F41" s="6">
        <v>2</v>
      </c>
      <c r="G41" s="7">
        <f>IFERROR(F41/E41,0)</f>
      </c>
      <c r="H41" s="4" t="inlineStr">
        <is>
          <t>-</t>
        </is>
      </c>
      <c r="I41" s="5" t="inlineStr">
        <is>
          <t>-</t>
        </is>
      </c>
    </row>
    <row r="42" ht="36" customHeight="1">
      <c r="A42" s="4">
        <v>38</v>
      </c>
      <c r="B42" s="4" t="inlineStr">
        <is>
          <t/>
        </is>
      </c>
      <c r="C42" s="4" t="inlineStr">
        <is>
          <t>Unit/Feature testing otomatis</t>
        </is>
      </c>
      <c r="D42" s="5" t="inlineStr">
        <is>
          <t>Feature test mencakup email verification custom, reset password custom, order/stock, verifikasi pembayaran, scan loket, scan gate, dan export laporan.</t>
        </is>
      </c>
      <c r="E42" s="6">
        <v>1</v>
      </c>
      <c r="F42" s="6">
        <v>1</v>
      </c>
      <c r="G42" s="7">
        <f>IFERROR(F42/E42,0)</f>
      </c>
      <c r="H42" s="4" t="inlineStr">
        <is>
          <t>-</t>
        </is>
      </c>
      <c r="I42" s="5" t="inlineStr">
        <is>
          <t>-</t>
        </is>
      </c>
    </row>
    <row r="43" ht="26" customHeight="1">
      <c r="A43" s="8" t="inlineStr">
        <is>
          <t>TOTAL PROGRESS PROJECT</t>
        </is>
      </c>
      <c r="B43" s="8" t="inlineStr">
        <is>
          <t/>
        </is>
      </c>
      <c r="C43" s="8" t="inlineStr">
        <is>
          <t/>
        </is>
      </c>
      <c r="D43" s="8" t="inlineStr">
        <is>
          <t/>
        </is>
      </c>
      <c r="E43" s="9">
        <f>SUM(E5:E42)</f>
      </c>
      <c r="F43" s="9">
        <v>100</v>
      </c>
      <c r="G43" s="10">
        <f>IFERROR(F43/E43,0)</f>
      </c>
      <c r="H43" s="8" t="inlineStr">
        <is>
          <t/>
        </is>
      </c>
      <c r="I43" s="8" t="inlineStr">
        <is>
          <t/>
        </is>
      </c>
    </row>
    <row r="45" ht="24" customHeight="1">
      <c r="A45" s="11" t="inlineStr">
        <is>
          <t>RINGKASAN PER MODUL</t>
        </is>
      </c>
    </row>
    <row r="46" ht="24" customHeight="1">
      <c r="A46" s="3" t="inlineStr">
        <is>
          <t>No</t>
        </is>
      </c>
      <c r="B46" s="3" t="inlineStr">
        <is>
          <t>Modul</t>
        </is>
      </c>
      <c r="C46" s="3" t="inlineStr">
        <is>
          <t>Total Poin</t>
        </is>
      </c>
      <c r="D46" s="3" t="inlineStr">
        <is>
          <t>Realisasi</t>
        </is>
      </c>
      <c r="E46" s="3" t="inlineStr">
        <is>
          <t>Persentase</t>
        </is>
      </c>
    </row>
    <row r="47" ht="22" customHeight="1">
      <c r="A47" s="4">
        <v>1</v>
      </c>
      <c r="B47" s="4" t="inlineStr">
        <is>
          <t>Autentikasi &amp; Otorisasi</t>
        </is>
      </c>
      <c r="C47" s="6">
        <v>12</v>
      </c>
      <c r="D47" s="6">
        <v>12</v>
      </c>
      <c r="E47" s="7">
        <v>1</v>
      </c>
    </row>
    <row r="48" ht="22" customHeight="1">
      <c r="A48" s="4">
        <v>2</v>
      </c>
      <c r="B48" s="4" t="inlineStr">
        <is>
          <t>Halaman Publik</t>
        </is>
      </c>
      <c r="C48" s="6">
        <v>10</v>
      </c>
      <c r="D48" s="6">
        <v>10</v>
      </c>
      <c r="E48" s="7">
        <v>1</v>
      </c>
    </row>
    <row r="49" ht="22" customHeight="1">
      <c r="A49" s="4">
        <v>3</v>
      </c>
      <c r="B49" s="4" t="inlineStr">
        <is>
          <t>Modul User/Pelanggan</t>
        </is>
      </c>
      <c r="C49" s="6">
        <v>22</v>
      </c>
      <c r="D49" s="6">
        <v>22</v>
      </c>
      <c r="E49" s="7">
        <v>1</v>
      </c>
    </row>
    <row r="50" ht="22" customHeight="1">
      <c r="A50" s="4">
        <v>4</v>
      </c>
      <c r="B50" s="4" t="inlineStr">
        <is>
          <t>Modul Admin</t>
        </is>
      </c>
      <c r="C50" s="6">
        <v>28</v>
      </c>
      <c r="D50" s="6">
        <v>28</v>
      </c>
      <c r="E50" s="7">
        <v>1</v>
      </c>
    </row>
    <row r="51" ht="22" customHeight="1">
      <c r="A51" s="4">
        <v>5</v>
      </c>
      <c r="B51" s="4" t="inlineStr">
        <is>
          <t>Petugas Loket</t>
        </is>
      </c>
      <c r="C51" s="6">
        <v>8</v>
      </c>
      <c r="D51" s="6">
        <v>8</v>
      </c>
      <c r="E51" s="7">
        <v>1</v>
      </c>
    </row>
    <row r="52" ht="22" customHeight="1">
      <c r="A52" s="4">
        <v>6</v>
      </c>
      <c r="B52" s="4" t="inlineStr">
        <is>
          <t>Petugas Gate</t>
        </is>
      </c>
      <c r="C52" s="6">
        <v>8</v>
      </c>
      <c r="D52" s="6">
        <v>8</v>
      </c>
      <c r="E52" s="7">
        <v>1</v>
      </c>
    </row>
    <row r="53" ht="22" customHeight="1">
      <c r="A53" s="4">
        <v>7</v>
      </c>
      <c r="B53" s="4" t="inlineStr">
        <is>
          <t>Sistem Pendukung</t>
        </is>
      </c>
      <c r="C53" s="6">
        <v>12</v>
      </c>
      <c r="D53" s="6">
        <v>12</v>
      </c>
      <c r="E53" s="7">
        <v>1</v>
      </c>
    </row>
    <row r="54" ht="24" customHeight="1">
      <c r="A54" s="8" t="inlineStr">
        <is>
          <t>TOTAL</t>
        </is>
      </c>
      <c r="B54" s="8" t="inlineStr">
        <is>
          <t/>
        </is>
      </c>
      <c r="C54" s="9">
        <v>100</v>
      </c>
      <c r="D54" s="9">
        <v>100</v>
      </c>
      <c r="E54" s="10">
        <v>1</v>
      </c>
    </row>
  </sheetData>
  <mergeCells count="3">
    <mergeCell ref="A1:I1"/>
    <mergeCell ref="A2:I2"/>
    <mergeCell ref="A45:E45"/>
  </mergeCells>
  <autoFilter ref="A4:I42"/>
  <pageMargins left="0.4" right="0.4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Festify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Software Development Progress Tracker Festify</dc:title>
  <dc:creator>Codex</dc:creator>
  <cp:lastModifiedBy>Codex</cp:lastModifiedBy>
  <dcterms:created xsi:type="dcterms:W3CDTF">2026-06-20T00:00:00Z</dcterms:created>
  <dcterms:modified xsi:type="dcterms:W3CDTF">2026-06-20T00:00:00Z</dcterms:modified>
</cp:coreProperties>
</file>